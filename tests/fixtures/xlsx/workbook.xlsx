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台账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公式验证" sheetId="3" state="visible" r:id="rId3"/>
  </sheets>
  <definedNames>
    <definedName name="_xlnm._FilterDatabase" localSheetId="0" hidden="1">'合同台账'!$A$2:$F$6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等线"/>
      <b val="1"/>
      <color rgb="00FFFFFF"/>
      <sz val="11"/>
    </font>
    <font>
      <name val="等线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478F6"/>
      </patternFill>
    </fill>
    <fill>
      <patternFill patternType="solid">
        <fgColor rgb="00D1FADF"/>
      </patternFill>
    </fill>
    <fill>
      <patternFill patternType="solid">
        <fgColor rgb="00FEF0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1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 ht="28" customHeight="1">
      <c r="A1" s="1" t="inlineStr">
        <is>
          <t>合同台账</t>
        </is>
      </c>
    </row>
    <row r="2">
      <c r="A2" s="2" t="inlineStr">
        <is>
          <t>编号</t>
        </is>
      </c>
      <c r="B2" s="2" t="inlineStr">
        <is>
          <t>客户</t>
        </is>
      </c>
      <c r="C2" s="2" t="inlineStr">
        <is>
          <t>金额</t>
        </is>
      </c>
      <c r="D2" s="2" t="inlineStr">
        <is>
          <t>签约日期</t>
        </is>
      </c>
      <c r="E2" s="2" t="inlineStr">
        <is>
          <t>状态</t>
        </is>
      </c>
      <c r="F2" s="2" t="inlineStr">
        <is>
          <t>备注</t>
        </is>
      </c>
      <c r="H2" t="inlineStr">
        <is>
          <t>合计</t>
        </is>
      </c>
      <c r="I2" s="3">
        <f>SUM(C3:C6)</f>
        <v/>
      </c>
    </row>
    <row r="3">
      <c r="A3" s="4" t="inlineStr">
        <is>
          <t>HT-001</t>
        </is>
      </c>
      <c r="B3" s="4" t="inlineStr">
        <is>
          <t>北京示例科技</t>
        </is>
      </c>
      <c r="C3" s="5" t="n">
        <v>12000</v>
      </c>
      <c r="D3" s="6" t="n">
        <v>46313</v>
      </c>
      <c r="E3" s="7" t="inlineStr">
        <is>
          <t>执行中</t>
        </is>
      </c>
      <c r="F3" s="4" t="inlineStr">
        <is>
          <t>季度付款</t>
        </is>
      </c>
      <c r="H3" t="inlineStr">
        <is>
          <t>平均</t>
        </is>
      </c>
      <c r="I3" s="3">
        <f>AVERAGE(C3:C6)</f>
        <v/>
      </c>
    </row>
    <row r="4">
      <c r="A4" s="4" t="inlineStr">
        <is>
          <t>HT-002</t>
        </is>
      </c>
      <c r="B4" s="4" t="inlineStr">
        <is>
          <t>上海示例贸易</t>
        </is>
      </c>
      <c r="C4" s="5" t="n">
        <v>30000</v>
      </c>
      <c r="D4" s="6" t="n">
        <v>46266</v>
      </c>
      <c r="E4" s="8" t="inlineStr">
        <is>
          <t>已完成</t>
        </is>
      </c>
      <c r="F4" s="4" t="inlineStr">
        <is>
          <t>含税</t>
        </is>
      </c>
      <c r="H4" t="inlineStr">
        <is>
          <t>最大</t>
        </is>
      </c>
      <c r="I4" s="3">
        <f>MAX(C3:C6)</f>
        <v/>
      </c>
    </row>
    <row r="5">
      <c r="A5" s="4" t="inlineStr">
        <is>
          <t>HT-003</t>
        </is>
      </c>
      <c r="B5" s="4" t="inlineStr">
        <is>
          <t>深圳示例网络</t>
        </is>
      </c>
      <c r="C5" s="5" t="n">
        <v>8800.5</v>
      </c>
      <c r="D5" s="6" t="n">
        <v>46249</v>
      </c>
      <c r="E5" s="7" t="inlineStr">
        <is>
          <t>执行中</t>
        </is>
      </c>
      <c r="F5" s="4" t="inlineStr"/>
      <c r="H5" t="inlineStr">
        <is>
          <t>笔数</t>
        </is>
      </c>
      <c r="I5" s="9">
        <f>COUNT(C3:C6)</f>
        <v/>
      </c>
    </row>
    <row r="6">
      <c r="A6" s="4" t="inlineStr">
        <is>
          <t>HT-004</t>
        </is>
      </c>
      <c r="B6" s="4" t="inlineStr">
        <is>
          <t>杭州示例文化</t>
        </is>
      </c>
      <c r="C6" s="5" t="n">
        <v>45000</v>
      </c>
      <c r="D6" s="6" t="n">
        <v>46223</v>
      </c>
      <c r="E6" s="8" t="inlineStr">
        <is>
          <t>已终止</t>
        </is>
      </c>
      <c r="F6" s="4" t="inlineStr">
        <is>
          <t>违约金 5%</t>
        </is>
      </c>
    </row>
  </sheetData>
  <autoFilter ref="A2:F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0" t="inlineStr">
        <is>
          <t>客户</t>
        </is>
      </c>
      <c r="B1" s="10" t="inlineStr">
        <is>
          <t>金额</t>
        </is>
      </c>
    </row>
    <row r="2">
      <c r="A2" t="inlineStr">
        <is>
          <t>北京示例科技</t>
        </is>
      </c>
      <c r="B2" s="3">
        <f>SUMIF(合同台账!B3:B6,A2,合同台账!C3:C6)</f>
        <v/>
      </c>
    </row>
    <row r="3">
      <c r="A3" t="inlineStr">
        <is>
          <t>上海示例贸易</t>
        </is>
      </c>
      <c r="B3" s="3">
        <f>SUMIF(合同台账!B3:B6,A3,合同台账!C3:C6)</f>
        <v/>
      </c>
    </row>
    <row r="4">
      <c r="A4" t="inlineStr">
        <is>
          <t>总计</t>
        </is>
      </c>
      <c r="B4" s="3">
        <f>SUM(B2:B3)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IF(A1&gt;5,"通过","不通过")</f>
        <v/>
      </c>
    </row>
    <row r="2">
      <c r="A2" t="n">
        <v>20</v>
      </c>
      <c r="B2">
        <f>VLOOKUP(20,A1:A3,1,FALSE)</f>
        <v/>
      </c>
    </row>
    <row r="3">
      <c r="A3" t="n">
        <v>30</v>
      </c>
      <c r="B3">
        <f>XLOOKUP(30,A1:A3,A1:A3)</f>
        <v/>
      </c>
    </row>
    <row r="4">
      <c r="B4">
        <f>ROUND(1/3,2)</f>
        <v/>
      </c>
    </row>
    <row r="5">
      <c r="B5">
        <f>CONCAT("合","同")</f>
        <v/>
      </c>
    </row>
    <row r="6">
      <c r="B6">
        <f>IFERROR(1/0,"安全")</f>
        <v/>
      </c>
    </row>
    <row r="7">
      <c r="B7" s="11">
        <f>DATE(2026,10,18)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2026-10-18T00:50:09Z</dcterms:created>
  <dcterms:modified xmlns:dcterms="http://purl.org/dc/terms/" xmlns:xsi="http://www.w3.org/2001/XMLSchema-instance" xsi:type="dcterms:W3CDTF">2026-10-18T00:50:09Z</dcterms:modified>
</cp:coreProperties>
</file>